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Лабораторные работы\Семестр 4\ЛБ442\"/>
    </mc:Choice>
  </mc:AlternateContent>
  <xr:revisionPtr revIDLastSave="0" documentId="13_ncr:1_{920B1D5D-AF36-40DE-88C8-F055A9929880}" xr6:coauthVersionLast="36" xr6:coauthVersionMax="36" xr10:uidLastSave="{00000000-0000-0000-0000-000000000000}"/>
  <bookViews>
    <workbookView xWindow="0" yWindow="0" windowWidth="18300" windowHeight="6840" activeTab="1" xr2:uid="{04824771-90D5-4151-9AAD-DD79F6A97C0E}"/>
  </bookViews>
  <sheets>
    <sheet name="Лист1" sheetId="1" r:id="rId1"/>
    <sheet name="Лист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1" l="1"/>
  <c r="D26" i="2"/>
  <c r="D33" i="2"/>
  <c r="D29" i="2"/>
  <c r="D2" i="2"/>
  <c r="D6" i="2"/>
  <c r="D19" i="2"/>
  <c r="D22" i="2"/>
  <c r="D4" i="2"/>
  <c r="D15" i="2"/>
  <c r="D12" i="2"/>
  <c r="D5" i="2"/>
  <c r="D8" i="2"/>
  <c r="D27" i="2"/>
  <c r="D16" i="2"/>
  <c r="D21" i="2"/>
  <c r="D31" i="2"/>
  <c r="D24" i="2"/>
  <c r="D20" i="2"/>
  <c r="D32" i="2"/>
  <c r="D9" i="2"/>
  <c r="D28" i="2"/>
  <c r="D25" i="2"/>
  <c r="D18" i="2"/>
  <c r="D13" i="2"/>
  <c r="D14" i="2"/>
  <c r="D10" i="2"/>
  <c r="E10" i="2" l="1"/>
  <c r="F10" i="2" s="1"/>
  <c r="G10" i="2" s="1"/>
  <c r="H10" i="2" s="1"/>
  <c r="E14" i="2"/>
  <c r="F14" i="2" s="1"/>
  <c r="G14" i="2" s="1"/>
  <c r="H14" i="2" s="1"/>
  <c r="E13" i="2"/>
  <c r="F13" i="2" s="1"/>
  <c r="G13" i="2" s="1"/>
  <c r="H13" i="2" s="1"/>
  <c r="E18" i="2"/>
  <c r="F18" i="2" s="1"/>
  <c r="G18" i="2" s="1"/>
  <c r="H18" i="2" s="1"/>
  <c r="E25" i="2"/>
  <c r="F25" i="2" s="1"/>
  <c r="G25" i="2" s="1"/>
  <c r="H25" i="2" s="1"/>
  <c r="E28" i="2"/>
  <c r="F28" i="2" s="1"/>
  <c r="G28" i="2" s="1"/>
  <c r="H28" i="2" s="1"/>
  <c r="E9" i="2"/>
  <c r="F9" i="2" s="1"/>
  <c r="G9" i="2" s="1"/>
  <c r="H9" i="2" s="1"/>
  <c r="E32" i="2"/>
  <c r="F32" i="2" s="1"/>
  <c r="G32" i="2" s="1"/>
  <c r="H32" i="2" s="1"/>
  <c r="E20" i="2"/>
  <c r="F20" i="2" s="1"/>
  <c r="G20" i="2" s="1"/>
  <c r="H20" i="2" s="1"/>
  <c r="E24" i="2"/>
  <c r="F24" i="2" s="1"/>
  <c r="G24" i="2" s="1"/>
  <c r="H24" i="2" s="1"/>
  <c r="E31" i="2"/>
  <c r="F31" i="2" s="1"/>
  <c r="G31" i="2" s="1"/>
  <c r="H31" i="2" s="1"/>
  <c r="E21" i="2"/>
  <c r="F21" i="2" s="1"/>
  <c r="G21" i="2" s="1"/>
  <c r="H21" i="2" s="1"/>
  <c r="E16" i="2"/>
  <c r="F16" i="2" s="1"/>
  <c r="G16" i="2" s="1"/>
  <c r="H16" i="2" s="1"/>
  <c r="E27" i="2"/>
  <c r="F27" i="2" s="1"/>
  <c r="G27" i="2" s="1"/>
  <c r="H27" i="2" s="1"/>
  <c r="E8" i="2"/>
  <c r="F8" i="2" s="1"/>
  <c r="G8" i="2" s="1"/>
  <c r="H8" i="2" s="1"/>
  <c r="E5" i="2"/>
  <c r="F5" i="2" s="1"/>
  <c r="G5" i="2" s="1"/>
  <c r="H5" i="2" s="1"/>
  <c r="E12" i="2"/>
  <c r="F12" i="2" s="1"/>
  <c r="G12" i="2" s="1"/>
  <c r="H12" i="2" s="1"/>
  <c r="E15" i="2"/>
  <c r="F15" i="2" s="1"/>
  <c r="G15" i="2" s="1"/>
  <c r="H15" i="2" s="1"/>
  <c r="E4" i="2"/>
  <c r="F4" i="2" s="1"/>
  <c r="G4" i="2" s="1"/>
  <c r="H4" i="2" s="1"/>
  <c r="E22" i="2"/>
  <c r="F22" i="2" s="1"/>
  <c r="G22" i="2" s="1"/>
  <c r="H22" i="2" s="1"/>
  <c r="E19" i="2"/>
  <c r="F19" i="2" s="1"/>
  <c r="G19" i="2" s="1"/>
  <c r="H19" i="2" s="1"/>
  <c r="E6" i="2"/>
  <c r="F6" i="2" s="1"/>
  <c r="G6" i="2" s="1"/>
  <c r="H6" i="2" s="1"/>
  <c r="E29" i="2"/>
  <c r="F29" i="2" s="1"/>
  <c r="G29" i="2" s="1"/>
  <c r="H29" i="2" s="1"/>
  <c r="E33" i="2"/>
  <c r="F33" i="2" s="1"/>
  <c r="G33" i="2" s="1"/>
  <c r="H33" i="2" s="1"/>
  <c r="E26" i="2"/>
  <c r="F26" i="2" s="1"/>
  <c r="G26" i="2" s="1"/>
  <c r="H26" i="2" s="1"/>
</calcChain>
</file>

<file path=xl/sharedStrings.xml><?xml version="1.0" encoding="utf-8"?>
<sst xmlns="http://schemas.openxmlformats.org/spreadsheetml/2006/main" count="142" uniqueCount="99">
  <si>
    <t>176* 41' 31''</t>
  </si>
  <si>
    <t>начало отсчета</t>
  </si>
  <si>
    <t>176* 41'</t>
  </si>
  <si>
    <t>266* 41'</t>
  </si>
  <si>
    <t>белый свет</t>
  </si>
  <si>
    <t>угол падения 45 град</t>
  </si>
  <si>
    <t>284* 0' 30''</t>
  </si>
  <si>
    <t>фиолетовый 1</t>
  </si>
  <si>
    <t>фиолетовый 2</t>
  </si>
  <si>
    <t xml:space="preserve">284* 7' 33'' </t>
  </si>
  <si>
    <t>фиолетовый 3</t>
  </si>
  <si>
    <t>284* 14' 38''</t>
  </si>
  <si>
    <t>белый</t>
  </si>
  <si>
    <t>синий 1</t>
  </si>
  <si>
    <t>синий 2</t>
  </si>
  <si>
    <t>синий 3</t>
  </si>
  <si>
    <t>285* 7' 57''</t>
  </si>
  <si>
    <t>285* 9' 34''</t>
  </si>
  <si>
    <t>285* 12' 12''</t>
  </si>
  <si>
    <t>убывают по яркости</t>
  </si>
  <si>
    <t>возрастают по яркости</t>
  </si>
  <si>
    <t>голубой 1</t>
  </si>
  <si>
    <t>голубой 2</t>
  </si>
  <si>
    <t>287* 19' 33''</t>
  </si>
  <si>
    <t>голубой 3</t>
  </si>
  <si>
    <t>287* 44' 11''</t>
  </si>
  <si>
    <t>287* 29' 34''</t>
  </si>
  <si>
    <t>голубой 4</t>
  </si>
  <si>
    <t>287* 48' 49''</t>
  </si>
  <si>
    <t>голубой 5</t>
  </si>
  <si>
    <t xml:space="preserve">288* 5' 40'' </t>
  </si>
  <si>
    <t>очень слабый</t>
  </si>
  <si>
    <t>зеленый 1</t>
  </si>
  <si>
    <t>288* 49' 53''</t>
  </si>
  <si>
    <t>зеленый 2</t>
  </si>
  <si>
    <t>зеленый 3</t>
  </si>
  <si>
    <t>зеленый 4</t>
  </si>
  <si>
    <t>зеленый 5</t>
  </si>
  <si>
    <t>288* 58' 27''</t>
  </si>
  <si>
    <t>289* 0' 49''</t>
  </si>
  <si>
    <t>289* 9' 12''</t>
  </si>
  <si>
    <t>289* 21' 4''</t>
  </si>
  <si>
    <t>самый яркий</t>
  </si>
  <si>
    <t>желтый 1</t>
  </si>
  <si>
    <t>желтый 2</t>
  </si>
  <si>
    <t>290* 30' 15''</t>
  </si>
  <si>
    <t>290* 34' 57''</t>
  </si>
  <si>
    <t>желтый 3</t>
  </si>
  <si>
    <t>290* 37' 54''</t>
  </si>
  <si>
    <t>тусклый</t>
  </si>
  <si>
    <t>290* 50' 11''</t>
  </si>
  <si>
    <t>желтый 4</t>
  </si>
  <si>
    <t>желтый 5</t>
  </si>
  <si>
    <t>желтый 6</t>
  </si>
  <si>
    <t>290* 53' 10''</t>
  </si>
  <si>
    <t>очень тусклый</t>
  </si>
  <si>
    <t>290* 57' 24''</t>
  </si>
  <si>
    <t>красный 1</t>
  </si>
  <si>
    <t>красный 2</t>
  </si>
  <si>
    <t>красный 3</t>
  </si>
  <si>
    <t>291* 37' 24''</t>
  </si>
  <si>
    <t>291* 48' 18''</t>
  </si>
  <si>
    <t>292* 12' 39''</t>
  </si>
  <si>
    <t>290* 30' 7''</t>
  </si>
  <si>
    <t>край 1</t>
  </si>
  <si>
    <t>290* 30' 55''</t>
  </si>
  <si>
    <t>край 2</t>
  </si>
  <si>
    <t>центр 1</t>
  </si>
  <si>
    <t>290* 30' 35''</t>
  </si>
  <si>
    <t>290* 5' 17''</t>
  </si>
  <si>
    <t>центр 2</t>
  </si>
  <si>
    <t>24''</t>
  </si>
  <si>
    <t>Аппаратная разр. Способность (желтая линяя)</t>
  </si>
  <si>
    <t>1 поряд</t>
  </si>
  <si>
    <t>2 порядок</t>
  </si>
  <si>
    <t>310* 49' 16''</t>
  </si>
  <si>
    <t>310* 57' 50''</t>
  </si>
  <si>
    <t>Зависимость дисперсии от угла падения (угол 45)</t>
  </si>
  <si>
    <t>Зависимость дисперсии от угла падения (угол 30)</t>
  </si>
  <si>
    <t>1 порядок</t>
  </si>
  <si>
    <t>84* 28' 24''</t>
  </si>
  <si>
    <t>84* 36' 37''</t>
  </si>
  <si>
    <t>86* 41'</t>
  </si>
  <si>
    <t>угол падения 30</t>
  </si>
  <si>
    <t>116* 41'</t>
  </si>
  <si>
    <t>угол падения 60</t>
  </si>
  <si>
    <t xml:space="preserve"> </t>
  </si>
  <si>
    <t>88* 88' 31''</t>
  </si>
  <si>
    <t>87* 55' 29''</t>
  </si>
  <si>
    <t>66* 41' 31''</t>
  </si>
  <si>
    <t>66* 32' 53''</t>
  </si>
  <si>
    <t>Зависимость разрешающей силы от ширины пучка</t>
  </si>
  <si>
    <t>R =</t>
  </si>
  <si>
    <t>0,9 мм</t>
  </si>
  <si>
    <t>фиолетовый</t>
  </si>
  <si>
    <t>176* 41'00''</t>
  </si>
  <si>
    <t>phi</t>
  </si>
  <si>
    <t>phi - phi_0</t>
  </si>
  <si>
    <t>phi - phi_0, рад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</si>
</sst>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1" fillId="3" borderId="0" xfId="0" applyFont="1" applyFill="1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7888A-4B2D-4A64-9659-C57DBD4B5340}">
  <sheetPr codeName="Лист1"/>
  <dimension ref="A2:M36"/>
  <sheetViews>
    <sheetView topLeftCell="A13" workbookViewId="0">
      <selection activeCell="C15" sqref="C15"/>
    </sheetView>
  </sheetViews>
  <sheetFormatPr defaultRowHeight="14.4" x14ac:dyDescent="0.3"/>
  <cols>
    <col min="1" max="1" width="13.6640625" customWidth="1"/>
    <col min="2" max="2" width="10.88671875" customWidth="1"/>
    <col min="3" max="3" width="11.88671875" customWidth="1"/>
    <col min="7" max="7" width="11.21875" customWidth="1"/>
    <col min="8" max="8" width="11.33203125" customWidth="1"/>
    <col min="9" max="9" width="11.5546875" customWidth="1"/>
    <col min="10" max="10" width="11.6640625" customWidth="1"/>
  </cols>
  <sheetData>
    <row r="2" spans="1:13" x14ac:dyDescent="0.3">
      <c r="A2" t="s">
        <v>0</v>
      </c>
      <c r="G2" s="8" t="s">
        <v>72</v>
      </c>
      <c r="H2" s="8"/>
      <c r="I2" s="8"/>
      <c r="J2" s="8"/>
    </row>
    <row r="3" spans="1:13" x14ac:dyDescent="0.3">
      <c r="G3" t="s">
        <v>64</v>
      </c>
      <c r="H3" t="s">
        <v>66</v>
      </c>
      <c r="I3" t="s">
        <v>67</v>
      </c>
      <c r="J3" t="s">
        <v>70</v>
      </c>
    </row>
    <row r="4" spans="1:13" x14ac:dyDescent="0.3">
      <c r="A4" t="s">
        <v>1</v>
      </c>
      <c r="B4" t="s">
        <v>2</v>
      </c>
      <c r="G4" t="s">
        <v>63</v>
      </c>
      <c r="H4" t="s">
        <v>65</v>
      </c>
      <c r="I4" t="s">
        <v>68</v>
      </c>
      <c r="J4" t="s">
        <v>69</v>
      </c>
    </row>
    <row r="5" spans="1:13" x14ac:dyDescent="0.3">
      <c r="A5" t="s">
        <v>12</v>
      </c>
      <c r="B5" t="s">
        <v>3</v>
      </c>
      <c r="C5" t="s">
        <v>4</v>
      </c>
      <c r="D5" t="s">
        <v>5</v>
      </c>
      <c r="H5" t="s">
        <v>71</v>
      </c>
      <c r="I5">
        <f>25*60 + 8</f>
        <v>1508</v>
      </c>
      <c r="J5">
        <v>62.8</v>
      </c>
    </row>
    <row r="7" spans="1:13" x14ac:dyDescent="0.3">
      <c r="A7" t="s">
        <v>7</v>
      </c>
      <c r="B7" t="s">
        <v>6</v>
      </c>
      <c r="C7" s="7" t="s">
        <v>19</v>
      </c>
      <c r="D7" s="7"/>
      <c r="G7" s="8" t="s">
        <v>77</v>
      </c>
      <c r="H7" s="8"/>
      <c r="I7" s="8"/>
      <c r="J7" s="8"/>
    </row>
    <row r="8" spans="1:13" x14ac:dyDescent="0.3">
      <c r="A8" t="s">
        <v>8</v>
      </c>
      <c r="B8" t="s">
        <v>9</v>
      </c>
      <c r="C8" s="7"/>
      <c r="D8" s="7"/>
      <c r="G8" s="7" t="s">
        <v>73</v>
      </c>
      <c r="H8" s="7"/>
      <c r="I8" s="7" t="s">
        <v>74</v>
      </c>
      <c r="J8" s="7"/>
    </row>
    <row r="9" spans="1:13" x14ac:dyDescent="0.3">
      <c r="A9" t="s">
        <v>10</v>
      </c>
      <c r="B9" t="s">
        <v>11</v>
      </c>
      <c r="C9" s="7"/>
      <c r="D9" s="7"/>
      <c r="G9" t="s">
        <v>67</v>
      </c>
      <c r="H9" t="s">
        <v>70</v>
      </c>
      <c r="I9" t="s">
        <v>67</v>
      </c>
      <c r="J9" t="s">
        <v>70</v>
      </c>
    </row>
    <row r="10" spans="1:13" x14ac:dyDescent="0.3">
      <c r="G10" t="s">
        <v>68</v>
      </c>
      <c r="H10" t="s">
        <v>69</v>
      </c>
      <c r="I10" t="s">
        <v>75</v>
      </c>
      <c r="J10" t="s">
        <v>76</v>
      </c>
    </row>
    <row r="11" spans="1:13" x14ac:dyDescent="0.3">
      <c r="A11" t="s">
        <v>13</v>
      </c>
      <c r="B11" t="s">
        <v>16</v>
      </c>
      <c r="C11" s="7" t="s">
        <v>20</v>
      </c>
      <c r="D11" s="7"/>
    </row>
    <row r="12" spans="1:13" x14ac:dyDescent="0.3">
      <c r="A12" t="s">
        <v>14</v>
      </c>
      <c r="B12" t="s">
        <v>17</v>
      </c>
      <c r="C12" s="7"/>
      <c r="D12" s="7"/>
      <c r="G12" s="5" t="s">
        <v>78</v>
      </c>
      <c r="H12" s="5"/>
      <c r="I12" s="5"/>
      <c r="J12" s="5"/>
      <c r="K12" t="s">
        <v>12</v>
      </c>
      <c r="L12" t="s">
        <v>82</v>
      </c>
      <c r="M12" t="s">
        <v>83</v>
      </c>
    </row>
    <row r="13" spans="1:13" x14ac:dyDescent="0.3">
      <c r="A13" t="s">
        <v>15</v>
      </c>
      <c r="B13" t="s">
        <v>18</v>
      </c>
      <c r="C13" s="7"/>
      <c r="D13" s="7"/>
      <c r="G13" s="7" t="s">
        <v>79</v>
      </c>
      <c r="H13" s="7"/>
      <c r="I13" s="7"/>
      <c r="J13" s="7"/>
    </row>
    <row r="14" spans="1:13" x14ac:dyDescent="0.3">
      <c r="G14" t="s">
        <v>67</v>
      </c>
      <c r="H14" t="s">
        <v>70</v>
      </c>
    </row>
    <row r="15" spans="1:13" x14ac:dyDescent="0.3">
      <c r="A15" t="s">
        <v>21</v>
      </c>
      <c r="B15" t="s">
        <v>23</v>
      </c>
      <c r="G15" t="s">
        <v>80</v>
      </c>
      <c r="H15" t="s">
        <v>81</v>
      </c>
    </row>
    <row r="16" spans="1:13" x14ac:dyDescent="0.3">
      <c r="A16" t="s">
        <v>22</v>
      </c>
      <c r="B16" t="s">
        <v>26</v>
      </c>
    </row>
    <row r="17" spans="1:13" x14ac:dyDescent="0.3">
      <c r="A17" t="s">
        <v>24</v>
      </c>
      <c r="B17" t="s">
        <v>25</v>
      </c>
      <c r="G17" s="8" t="s">
        <v>77</v>
      </c>
      <c r="H17" s="8"/>
      <c r="I17" s="8"/>
      <c r="J17" s="8"/>
      <c r="K17" t="s">
        <v>12</v>
      </c>
      <c r="L17" t="s">
        <v>84</v>
      </c>
      <c r="M17" t="s">
        <v>85</v>
      </c>
    </row>
    <row r="18" spans="1:13" x14ac:dyDescent="0.3">
      <c r="A18" t="s">
        <v>27</v>
      </c>
      <c r="B18" t="s">
        <v>28</v>
      </c>
      <c r="G18" s="7" t="s">
        <v>73</v>
      </c>
      <c r="H18" s="7"/>
      <c r="I18" s="7" t="s">
        <v>74</v>
      </c>
      <c r="J18" s="7"/>
    </row>
    <row r="19" spans="1:13" x14ac:dyDescent="0.3">
      <c r="A19" t="s">
        <v>29</v>
      </c>
      <c r="B19" t="s">
        <v>30</v>
      </c>
      <c r="C19" t="s">
        <v>31</v>
      </c>
      <c r="G19" t="s">
        <v>67</v>
      </c>
      <c r="H19" t="s">
        <v>70</v>
      </c>
      <c r="I19" t="s">
        <v>67</v>
      </c>
      <c r="J19" t="s">
        <v>70</v>
      </c>
    </row>
    <row r="20" spans="1:13" x14ac:dyDescent="0.3">
      <c r="G20" t="s">
        <v>87</v>
      </c>
      <c r="H20" t="s">
        <v>88</v>
      </c>
      <c r="I20" t="s">
        <v>89</v>
      </c>
      <c r="J20" t="s">
        <v>90</v>
      </c>
    </row>
    <row r="21" spans="1:13" x14ac:dyDescent="0.3">
      <c r="A21" t="s">
        <v>32</v>
      </c>
      <c r="B21" t="s">
        <v>33</v>
      </c>
      <c r="G21" t="s">
        <v>86</v>
      </c>
    </row>
    <row r="22" spans="1:13" x14ac:dyDescent="0.3">
      <c r="A22" t="s">
        <v>34</v>
      </c>
      <c r="B22" t="s">
        <v>38</v>
      </c>
      <c r="G22" s="8" t="s">
        <v>91</v>
      </c>
      <c r="H22" s="8"/>
      <c r="I22" s="8"/>
      <c r="J22" s="8"/>
    </row>
    <row r="23" spans="1:13" x14ac:dyDescent="0.3">
      <c r="A23" t="s">
        <v>35</v>
      </c>
      <c r="B23" t="s">
        <v>39</v>
      </c>
      <c r="G23" t="s">
        <v>92</v>
      </c>
      <c r="H23" t="s">
        <v>93</v>
      </c>
    </row>
    <row r="24" spans="1:13" x14ac:dyDescent="0.3">
      <c r="A24" t="s">
        <v>36</v>
      </c>
      <c r="B24" t="s">
        <v>40</v>
      </c>
    </row>
    <row r="25" spans="1:13" x14ac:dyDescent="0.3">
      <c r="A25" s="1" t="s">
        <v>37</v>
      </c>
      <c r="B25" t="s">
        <v>41</v>
      </c>
      <c r="C25" t="s">
        <v>42</v>
      </c>
    </row>
    <row r="27" spans="1:13" x14ac:dyDescent="0.3">
      <c r="A27" s="2" t="s">
        <v>43</v>
      </c>
      <c r="B27" t="s">
        <v>45</v>
      </c>
    </row>
    <row r="28" spans="1:13" x14ac:dyDescent="0.3">
      <c r="A28" t="s">
        <v>44</v>
      </c>
      <c r="B28" t="s">
        <v>46</v>
      </c>
    </row>
    <row r="29" spans="1:13" x14ac:dyDescent="0.3">
      <c r="A29" s="3" t="s">
        <v>47</v>
      </c>
      <c r="B29" t="s">
        <v>48</v>
      </c>
      <c r="C29" t="s">
        <v>49</v>
      </c>
    </row>
    <row r="30" spans="1:13" x14ac:dyDescent="0.3">
      <c r="A30" t="s">
        <v>51</v>
      </c>
      <c r="B30" t="s">
        <v>50</v>
      </c>
    </row>
    <row r="31" spans="1:13" x14ac:dyDescent="0.3">
      <c r="A31" s="3" t="s">
        <v>52</v>
      </c>
      <c r="B31" t="s">
        <v>54</v>
      </c>
      <c r="C31" t="s">
        <v>55</v>
      </c>
    </row>
    <row r="32" spans="1:13" x14ac:dyDescent="0.3">
      <c r="A32" t="s">
        <v>53</v>
      </c>
      <c r="B32" t="s">
        <v>56</v>
      </c>
    </row>
    <row r="34" spans="1:2" x14ac:dyDescent="0.3">
      <c r="A34" t="s">
        <v>57</v>
      </c>
      <c r="B34" t="s">
        <v>60</v>
      </c>
    </row>
    <row r="35" spans="1:2" x14ac:dyDescent="0.3">
      <c r="A35" t="s">
        <v>58</v>
      </c>
      <c r="B35" t="s">
        <v>61</v>
      </c>
    </row>
    <row r="36" spans="1:2" x14ac:dyDescent="0.3">
      <c r="A36" s="4" t="s">
        <v>59</v>
      </c>
      <c r="B36" t="s">
        <v>62</v>
      </c>
    </row>
  </sheetData>
  <mergeCells count="12">
    <mergeCell ref="G18:H18"/>
    <mergeCell ref="I18:J18"/>
    <mergeCell ref="G22:J22"/>
    <mergeCell ref="G13:H13"/>
    <mergeCell ref="I13:J13"/>
    <mergeCell ref="G17:J17"/>
    <mergeCell ref="C7:D9"/>
    <mergeCell ref="C11:D13"/>
    <mergeCell ref="G2:J2"/>
    <mergeCell ref="G7:J7"/>
    <mergeCell ref="G8:H8"/>
    <mergeCell ref="I8:J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1F62F-F1A5-471E-BC73-10530CA4EBE1}">
  <sheetPr codeName="Лист2"/>
  <dimension ref="A2:J33"/>
  <sheetViews>
    <sheetView tabSelected="1" workbookViewId="0">
      <selection activeCell="P7" sqref="P7"/>
    </sheetView>
  </sheetViews>
  <sheetFormatPr defaultRowHeight="14.4" x14ac:dyDescent="0.3"/>
  <cols>
    <col min="1" max="1" width="12.33203125" customWidth="1"/>
    <col min="2" max="2" width="12.109375" customWidth="1"/>
    <col min="5" max="5" width="10.77734375" customWidth="1"/>
    <col min="6" max="6" width="14" customWidth="1"/>
  </cols>
  <sheetData>
    <row r="2" spans="1:10" x14ac:dyDescent="0.3">
      <c r="A2" t="s">
        <v>1</v>
      </c>
      <c r="B2" t="s">
        <v>95</v>
      </c>
      <c r="D2">
        <f>ConvertDecimal(B2)</f>
        <v>176.68333333333334</v>
      </c>
    </row>
    <row r="3" spans="1:10" x14ac:dyDescent="0.3">
      <c r="D3" t="s">
        <v>96</v>
      </c>
      <c r="E3" t="s">
        <v>97</v>
      </c>
      <c r="F3" t="s">
        <v>98</v>
      </c>
    </row>
    <row r="4" spans="1:10" x14ac:dyDescent="0.3">
      <c r="A4" s="6" t="s">
        <v>94</v>
      </c>
      <c r="B4" t="s">
        <v>6</v>
      </c>
      <c r="D4">
        <f>ConvertDecimal(B4)</f>
        <v>284.00833333333333</v>
      </c>
      <c r="E4">
        <f xml:space="preserve"> D4 - $D$2</f>
        <v>107.32499999999999</v>
      </c>
      <c r="F4">
        <f>RADIANS(E4)</f>
        <v>1.873174619702914</v>
      </c>
      <c r="G4">
        <f>SIN(F4)</f>
        <v>0.95463095435379108</v>
      </c>
      <c r="H4">
        <f xml:space="preserve"> G4 - SIN(PI() / 4)</f>
        <v>0.24752417316724362</v>
      </c>
      <c r="I4" s="9">
        <v>4047</v>
      </c>
    </row>
    <row r="5" spans="1:10" x14ac:dyDescent="0.3">
      <c r="A5" s="6"/>
      <c r="B5" t="s">
        <v>9</v>
      </c>
      <c r="D5">
        <f t="shared" ref="D5:D33" si="0">ConvertDecimal(B5)</f>
        <v>284.12583333333333</v>
      </c>
      <c r="E5">
        <f t="shared" ref="E5:E33" si="1" xml:space="preserve"> D5 - $D$2</f>
        <v>107.4425</v>
      </c>
      <c r="F5">
        <f t="shared" ref="F5:F33" si="2">RADIANS(E5)</f>
        <v>1.8752253815740074</v>
      </c>
      <c r="G5">
        <f t="shared" ref="G5:G33" si="3">SIN(F5)</f>
        <v>0.95401824804489443</v>
      </c>
      <c r="H5">
        <f t="shared" ref="H5:H33" si="4" xml:space="preserve"> G5 - SIN(PI() / 4)</f>
        <v>0.24691146685834697</v>
      </c>
      <c r="I5" s="9"/>
      <c r="J5" s="9"/>
    </row>
    <row r="6" spans="1:10" x14ac:dyDescent="0.3">
      <c r="A6" s="6"/>
      <c r="B6" t="s">
        <v>11</v>
      </c>
      <c r="D6">
        <f t="shared" si="0"/>
        <v>284.24388888888888</v>
      </c>
      <c r="E6">
        <f t="shared" si="1"/>
        <v>107.56055555555554</v>
      </c>
      <c r="F6">
        <f t="shared" si="2"/>
        <v>1.8772858397187226</v>
      </c>
      <c r="G6">
        <f t="shared" si="3"/>
        <v>0.95339860404223387</v>
      </c>
      <c r="H6">
        <f t="shared" si="4"/>
        <v>0.2462918228556864</v>
      </c>
      <c r="I6" s="9"/>
      <c r="J6" s="9"/>
    </row>
    <row r="8" spans="1:10" x14ac:dyDescent="0.3">
      <c r="B8" t="s">
        <v>16</v>
      </c>
      <c r="D8">
        <f t="shared" si="0"/>
        <v>285.13249999999999</v>
      </c>
      <c r="E8">
        <f t="shared" si="1"/>
        <v>108.44916666666666</v>
      </c>
      <c r="F8">
        <f t="shared" si="2"/>
        <v>1.8927950293774169</v>
      </c>
      <c r="G8">
        <f t="shared" si="3"/>
        <v>0.94860479749607451</v>
      </c>
      <c r="H8">
        <f t="shared" si="4"/>
        <v>0.24149801630952705</v>
      </c>
      <c r="I8" s="10">
        <v>4358</v>
      </c>
    </row>
    <row r="9" spans="1:10" x14ac:dyDescent="0.3">
      <c r="B9" t="s">
        <v>17</v>
      </c>
      <c r="D9">
        <f t="shared" si="0"/>
        <v>285.15944444444443</v>
      </c>
      <c r="E9">
        <f t="shared" si="1"/>
        <v>108.47611111111109</v>
      </c>
      <c r="F9">
        <f t="shared" si="2"/>
        <v>1.8932652986480931</v>
      </c>
      <c r="G9">
        <f t="shared" si="3"/>
        <v>0.94845586970377371</v>
      </c>
      <c r="H9">
        <f t="shared" si="4"/>
        <v>0.24134908851722625</v>
      </c>
      <c r="I9" s="9"/>
      <c r="J9" s="10"/>
    </row>
    <row r="10" spans="1:10" x14ac:dyDescent="0.3">
      <c r="B10" t="s">
        <v>18</v>
      </c>
      <c r="D10">
        <f t="shared" si="0"/>
        <v>285.20333333333332</v>
      </c>
      <c r="E10">
        <f t="shared" si="1"/>
        <v>108.51999999999998</v>
      </c>
      <c r="F10">
        <f t="shared" si="2"/>
        <v>1.894031304264246</v>
      </c>
      <c r="G10">
        <f t="shared" si="3"/>
        <v>0.94821283721354477</v>
      </c>
      <c r="H10">
        <f t="shared" si="4"/>
        <v>0.24110605602699731</v>
      </c>
      <c r="I10" s="9"/>
      <c r="J10" s="10"/>
    </row>
    <row r="12" spans="1:10" x14ac:dyDescent="0.3">
      <c r="B12" t="s">
        <v>23</v>
      </c>
      <c r="D12">
        <f t="shared" si="0"/>
        <v>287.32583333333332</v>
      </c>
      <c r="E12">
        <f t="shared" si="1"/>
        <v>110.64249999999998</v>
      </c>
      <c r="F12">
        <f t="shared" si="2"/>
        <v>1.9310759176378258</v>
      </c>
      <c r="G12">
        <f t="shared" si="3"/>
        <v>0.9357982944493809</v>
      </c>
      <c r="H12">
        <f t="shared" si="4"/>
        <v>0.22869151326283343</v>
      </c>
      <c r="I12">
        <v>4916</v>
      </c>
    </row>
    <row r="13" spans="1:10" x14ac:dyDescent="0.3">
      <c r="B13" t="s">
        <v>26</v>
      </c>
      <c r="D13">
        <f t="shared" si="0"/>
        <v>287.4927777777778</v>
      </c>
      <c r="E13">
        <f t="shared" si="1"/>
        <v>110.80944444444447</v>
      </c>
      <c r="F13">
        <f t="shared" si="2"/>
        <v>1.9339896478612948</v>
      </c>
      <c r="G13">
        <f t="shared" si="3"/>
        <v>0.93476712905351322</v>
      </c>
      <c r="H13">
        <f t="shared" si="4"/>
        <v>0.22766034786696576</v>
      </c>
    </row>
    <row r="14" spans="1:10" x14ac:dyDescent="0.3">
      <c r="B14" t="s">
        <v>25</v>
      </c>
      <c r="D14">
        <f t="shared" si="0"/>
        <v>287.73638888888888</v>
      </c>
      <c r="E14">
        <f t="shared" si="1"/>
        <v>111.05305555555555</v>
      </c>
      <c r="F14">
        <f t="shared" si="2"/>
        <v>1.9382414638446248</v>
      </c>
      <c r="G14">
        <f t="shared" si="3"/>
        <v>0.93324817967033524</v>
      </c>
      <c r="H14">
        <f t="shared" si="4"/>
        <v>0.22614139848378778</v>
      </c>
    </row>
    <row r="15" spans="1:10" x14ac:dyDescent="0.3">
      <c r="B15" t="s">
        <v>28</v>
      </c>
      <c r="D15">
        <f t="shared" si="0"/>
        <v>287.81361111111113</v>
      </c>
      <c r="E15">
        <f t="shared" si="1"/>
        <v>111.13027777777779</v>
      </c>
      <c r="F15">
        <f t="shared" si="2"/>
        <v>1.9395892458781097</v>
      </c>
      <c r="G15">
        <f t="shared" si="3"/>
        <v>0.93276316536611692</v>
      </c>
      <c r="H15">
        <f t="shared" si="4"/>
        <v>0.22565638417956946</v>
      </c>
    </row>
    <row r="16" spans="1:10" x14ac:dyDescent="0.3">
      <c r="B16" t="s">
        <v>30</v>
      </c>
      <c r="D16">
        <f t="shared" si="0"/>
        <v>288.09444444444443</v>
      </c>
      <c r="E16">
        <f t="shared" si="1"/>
        <v>111.4111111111111</v>
      </c>
      <c r="F16">
        <f t="shared" si="2"/>
        <v>1.9444907121941266</v>
      </c>
      <c r="G16">
        <f t="shared" si="3"/>
        <v>0.93098503945303612</v>
      </c>
      <c r="H16">
        <f t="shared" si="4"/>
        <v>0.22387825826648866</v>
      </c>
    </row>
    <row r="18" spans="2:9" x14ac:dyDescent="0.3">
      <c r="B18" t="s">
        <v>33</v>
      </c>
      <c r="D18">
        <f t="shared" si="0"/>
        <v>288.83138888888891</v>
      </c>
      <c r="E18">
        <f t="shared" si="1"/>
        <v>112.14805555555557</v>
      </c>
      <c r="F18">
        <f t="shared" si="2"/>
        <v>1.9573528191539633</v>
      </c>
      <c r="G18">
        <f t="shared" si="3"/>
        <v>0.9262127553200491</v>
      </c>
      <c r="H18">
        <f t="shared" si="4"/>
        <v>0.21910597413350164</v>
      </c>
      <c r="I18">
        <v>5461</v>
      </c>
    </row>
    <row r="19" spans="2:9" x14ac:dyDescent="0.3">
      <c r="B19" t="s">
        <v>38</v>
      </c>
      <c r="D19">
        <f t="shared" si="0"/>
        <v>288.97416666666669</v>
      </c>
      <c r="E19">
        <f t="shared" si="1"/>
        <v>112.29083333333335</v>
      </c>
      <c r="F19">
        <f t="shared" si="2"/>
        <v>1.9598447614748662</v>
      </c>
      <c r="G19">
        <f t="shared" si="3"/>
        <v>0.92527041517192077</v>
      </c>
      <c r="H19">
        <f t="shared" si="4"/>
        <v>0.21816363398537331</v>
      </c>
    </row>
    <row r="20" spans="2:9" x14ac:dyDescent="0.3">
      <c r="B20" t="s">
        <v>39</v>
      </c>
      <c r="D20">
        <f t="shared" si="0"/>
        <v>289.01361111111112</v>
      </c>
      <c r="E20">
        <f t="shared" si="1"/>
        <v>112.33027777777778</v>
      </c>
      <c r="F20">
        <f t="shared" si="2"/>
        <v>1.9605331969020414</v>
      </c>
      <c r="G20">
        <f t="shared" si="3"/>
        <v>0.92500906677397321</v>
      </c>
      <c r="H20">
        <f t="shared" si="4"/>
        <v>0.21790228558742575</v>
      </c>
    </row>
    <row r="21" spans="2:9" x14ac:dyDescent="0.3">
      <c r="B21" t="s">
        <v>40</v>
      </c>
      <c r="D21">
        <f t="shared" si="0"/>
        <v>289.15333333333331</v>
      </c>
      <c r="E21">
        <f t="shared" si="1"/>
        <v>112.46999999999997</v>
      </c>
      <c r="F21">
        <f t="shared" si="2"/>
        <v>1.962971809718022</v>
      </c>
      <c r="G21">
        <f t="shared" si="3"/>
        <v>0.92407977843535272</v>
      </c>
      <c r="H21">
        <f t="shared" si="4"/>
        <v>0.21697299724880525</v>
      </c>
    </row>
    <row r="22" spans="2:9" x14ac:dyDescent="0.3">
      <c r="B22" t="s">
        <v>41</v>
      </c>
      <c r="D22">
        <f t="shared" si="0"/>
        <v>289.35111111111109</v>
      </c>
      <c r="E22">
        <f t="shared" si="1"/>
        <v>112.66777777777776</v>
      </c>
      <c r="F22">
        <f t="shared" si="2"/>
        <v>1.9664236831275219</v>
      </c>
      <c r="G22">
        <f t="shared" si="3"/>
        <v>0.92275497089023073</v>
      </c>
      <c r="H22">
        <f t="shared" si="4"/>
        <v>0.21564818970368327</v>
      </c>
    </row>
    <row r="24" spans="2:9" x14ac:dyDescent="0.3">
      <c r="B24" t="s">
        <v>45</v>
      </c>
      <c r="D24">
        <f t="shared" si="0"/>
        <v>290.50416666666666</v>
      </c>
      <c r="E24">
        <f t="shared" si="1"/>
        <v>113.82083333333333</v>
      </c>
      <c r="F24">
        <f t="shared" si="2"/>
        <v>1.9865482990303791</v>
      </c>
      <c r="G24">
        <f t="shared" si="3"/>
        <v>0.91481287415807777</v>
      </c>
      <c r="H24">
        <f t="shared" si="4"/>
        <v>0.20770609297153031</v>
      </c>
      <c r="I24">
        <v>5770</v>
      </c>
    </row>
    <row r="25" spans="2:9" x14ac:dyDescent="0.3">
      <c r="B25" t="s">
        <v>46</v>
      </c>
      <c r="D25">
        <f t="shared" si="0"/>
        <v>290.58249999999998</v>
      </c>
      <c r="E25">
        <f t="shared" si="1"/>
        <v>113.89916666666664</v>
      </c>
      <c r="F25">
        <f t="shared" si="2"/>
        <v>1.9879154736111078</v>
      </c>
      <c r="G25">
        <f t="shared" si="3"/>
        <v>0.91425984768308477</v>
      </c>
      <c r="H25">
        <f t="shared" si="4"/>
        <v>0.20715306649653731</v>
      </c>
      <c r="I25">
        <v>5791</v>
      </c>
    </row>
    <row r="26" spans="2:9" x14ac:dyDescent="0.3">
      <c r="B26" t="s">
        <v>48</v>
      </c>
      <c r="D26">
        <f t="shared" si="0"/>
        <v>290.63166666666666</v>
      </c>
      <c r="E26">
        <f t="shared" si="1"/>
        <v>113.94833333333332</v>
      </c>
      <c r="F26">
        <f t="shared" si="2"/>
        <v>1.9887735938266717</v>
      </c>
      <c r="G26">
        <f t="shared" si="3"/>
        <v>0.91391186233379484</v>
      </c>
      <c r="H26">
        <f t="shared" si="4"/>
        <v>0.20680508114724738</v>
      </c>
    </row>
    <row r="27" spans="2:9" x14ac:dyDescent="0.3">
      <c r="B27" t="s">
        <v>50</v>
      </c>
      <c r="D27">
        <f t="shared" si="0"/>
        <v>290.83638888888891</v>
      </c>
      <c r="E27">
        <f t="shared" si="1"/>
        <v>114.15305555555557</v>
      </c>
      <c r="F27">
        <f t="shared" si="2"/>
        <v>1.9923466706564494</v>
      </c>
      <c r="G27">
        <f t="shared" si="3"/>
        <v>0.91245567431557983</v>
      </c>
      <c r="H27">
        <f t="shared" si="4"/>
        <v>0.20534889312903237</v>
      </c>
    </row>
    <row r="28" spans="2:9" x14ac:dyDescent="0.3">
      <c r="B28" t="s">
        <v>54</v>
      </c>
      <c r="D28">
        <f t="shared" si="0"/>
        <v>290.88611111111112</v>
      </c>
      <c r="E28">
        <f t="shared" si="1"/>
        <v>114.20277777777778</v>
      </c>
      <c r="F28">
        <f t="shared" si="2"/>
        <v>1.9932144871456354</v>
      </c>
      <c r="G28">
        <f t="shared" si="3"/>
        <v>0.91210024147083668</v>
      </c>
      <c r="H28">
        <f t="shared" si="4"/>
        <v>0.20499346028428922</v>
      </c>
    </row>
    <row r="29" spans="2:9" x14ac:dyDescent="0.3">
      <c r="B29" t="s">
        <v>56</v>
      </c>
      <c r="D29">
        <f t="shared" si="0"/>
        <v>290.95666666666665</v>
      </c>
      <c r="E29">
        <f t="shared" si="1"/>
        <v>114.27333333333331</v>
      </c>
      <c r="F29">
        <f t="shared" si="2"/>
        <v>1.9944459138956532</v>
      </c>
      <c r="G29">
        <f t="shared" si="3"/>
        <v>0.9115947053952711</v>
      </c>
      <c r="H29">
        <f t="shared" si="4"/>
        <v>0.20448792420872364</v>
      </c>
    </row>
    <row r="31" spans="2:9" x14ac:dyDescent="0.3">
      <c r="B31" t="s">
        <v>60</v>
      </c>
      <c r="D31">
        <f t="shared" si="0"/>
        <v>291.62333333333333</v>
      </c>
      <c r="E31">
        <f t="shared" si="1"/>
        <v>114.94</v>
      </c>
      <c r="F31">
        <f t="shared" si="2"/>
        <v>2.0060814422422824</v>
      </c>
      <c r="G31">
        <f t="shared" si="3"/>
        <v>0.90674985482574211</v>
      </c>
      <c r="H31">
        <f t="shared" si="4"/>
        <v>0.19964307363919465</v>
      </c>
    </row>
    <row r="32" spans="2:9" x14ac:dyDescent="0.3">
      <c r="B32" t="s">
        <v>61</v>
      </c>
      <c r="D32">
        <f t="shared" si="0"/>
        <v>291.80500000000001</v>
      </c>
      <c r="E32">
        <f t="shared" si="1"/>
        <v>115.12166666666667</v>
      </c>
      <c r="F32">
        <f t="shared" si="2"/>
        <v>2.0092521237167387</v>
      </c>
      <c r="G32">
        <f t="shared" si="3"/>
        <v>0.90540832127310267</v>
      </c>
      <c r="H32">
        <f t="shared" si="4"/>
        <v>0.19830154008655521</v>
      </c>
    </row>
    <row r="33" spans="2:8" x14ac:dyDescent="0.3">
      <c r="B33" t="s">
        <v>62</v>
      </c>
      <c r="D33">
        <f t="shared" si="0"/>
        <v>292.21083333333331</v>
      </c>
      <c r="E33">
        <f t="shared" si="1"/>
        <v>115.52749999999997</v>
      </c>
      <c r="F33">
        <f t="shared" si="2"/>
        <v>2.0163352515977486</v>
      </c>
      <c r="G33">
        <f t="shared" si="3"/>
        <v>0.90237854990199251</v>
      </c>
      <c r="H33">
        <f t="shared" si="4"/>
        <v>0.19527176871544505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Артемий Белостоцкий</dc:creator>
  <cp:lastModifiedBy>Артемий Белостоцкий</cp:lastModifiedBy>
  <dcterms:created xsi:type="dcterms:W3CDTF">2022-03-16T06:59:24Z</dcterms:created>
  <dcterms:modified xsi:type="dcterms:W3CDTF">2022-03-18T12:56:47Z</dcterms:modified>
</cp:coreProperties>
</file>